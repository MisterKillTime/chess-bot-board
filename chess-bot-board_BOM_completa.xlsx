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Completa" sheetId="1" state="visible" r:id="rId3"/>
    <sheet name="Priorità Acquisti" sheetId="2" state="visible" r:id="rId4"/>
    <sheet name="Stampa 3D" sheetId="3" state="visible" r:id="rId5"/>
  </sheets>
  <definedNames>
    <definedName function="false" hidden="true" localSheetId="0" name="_xlnm._FilterDatabase" vbProcedure="false">'BOM Completa'!$A$4:$H$40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<sst xmlns="http://schemas.openxmlformats.org/spreadsheetml/2006/main" count="275" uniqueCount="180">
  <si>
    <t xml:space="preserve">Chess-Bot Board — Lista Acquisti Completa</t>
  </si>
  <si>
    <t xml:space="preserve">Aggiornato: Aprile 2026 — Prezzi stimati Amazon.it / AliExpress</t>
  </si>
  <si>
    <t xml:space="preserve">#</t>
  </si>
  <si>
    <t xml:space="preserve">Categoria</t>
  </si>
  <si>
    <t xml:space="preserve">Componente</t>
  </si>
  <si>
    <t xml:space="preserve">Q.tà</t>
  </si>
  <si>
    <t xml:space="preserve">Prezzo unit. (€)</t>
  </si>
  <si>
    <t xml:space="preserve">Totale (€)</t>
  </si>
  <si>
    <t xml:space="preserve">Dove comprare</t>
  </si>
  <si>
    <t xml:space="preserve">Note</t>
  </si>
  <si>
    <t xml:space="preserve">ELETTRONICA — SCHEDA E ALIMENTAZIONE</t>
  </si>
  <si>
    <t xml:space="preserve">Elettronica</t>
  </si>
  <si>
    <t xml:space="preserve">Raspberry Pi 4 Model B 2GB</t>
  </si>
  <si>
    <t xml:space="preserve">Amazon.it</t>
  </si>
  <si>
    <t xml:space="preserve">Cervello del sistema. Cerca "Raspberry Pi 4 2GB"</t>
  </si>
  <si>
    <t xml:space="preserve">MicroSD 32GB Classe 10 (Samsung EVO)</t>
  </si>
  <si>
    <t xml:space="preserve">Per RPi OS + Stockfish</t>
  </si>
  <si>
    <t xml:space="preserve">Alimentatore USB-C 5.1V 3A (per RPi)</t>
  </si>
  <si>
    <t xml:space="preserve">Con interruttore on/off. Marca: GeeekPi o simile</t>
  </si>
  <si>
    <t xml:space="preserve">Alimentatore 12V 3A DC (per motori)</t>
  </si>
  <si>
    <t xml:space="preserve">Jack 5.5x2.1mm. Circuito separato dal RPi</t>
  </si>
  <si>
    <t xml:space="preserve">ELETTRONICA — MOTORI E DRIVER</t>
  </si>
  <si>
    <t xml:space="preserve">Motori</t>
  </si>
  <si>
    <t xml:space="preserve">NEMA 17 Stepper 42x39mm 1.5A (STEPPERONLINE)</t>
  </si>
  <si>
    <t xml:space="preserve">17HS15-1504S, 45Ncm, 4 fili, connettore incluso</t>
  </si>
  <si>
    <t xml:space="preserve">Driver A4988 con dissipatore (pack 5 pz)</t>
  </si>
  <si>
    <t xml:space="preserve">Ne servono 2, gli altri 3 sono di scorta. Marca: ANGEEK</t>
  </si>
  <si>
    <t xml:space="preserve">ELETTRONICA — SENSORI</t>
  </si>
  <si>
    <t xml:space="preserve">Sensori</t>
  </si>
  <si>
    <t xml:space="preserve">Reed switch magnetici (pack 20 pz)</t>
  </si>
  <si>
    <t xml:space="preserve">AliExpress</t>
  </si>
  <si>
    <t xml:space="preserve">Ne servono 64 + scorta. Tipo: 14mm vetro, 2 fili</t>
  </si>
  <si>
    <t xml:space="preserve">Multiplexer CD74HC4067 breakout (pack 3 pz)</t>
  </si>
  <si>
    <t xml:space="preserve">Ne servono 2, 1 di scorta. Marca: HiLetgo o JZK</t>
  </si>
  <si>
    <t xml:space="preserve">ELETTRONICA — CABLAGGI</t>
  </si>
  <si>
    <t xml:space="preserve">Cablaggi</t>
  </si>
  <si>
    <t xml:space="preserve">Breadboard 830 punti</t>
  </si>
  <si>
    <t xml:space="preserve">Per prototyping. Poi PCB custom</t>
  </si>
  <si>
    <t xml:space="preserve">Cavi Dupont M-M + M-F + F-F (kit 120 pz)</t>
  </si>
  <si>
    <t xml:space="preserve">Kit 3 tipi x 40 pz. Marca: ELEGOO</t>
  </si>
  <si>
    <t xml:space="preserve">Cavi jumper breadboard rigidi (kit 560 pz)</t>
  </si>
  <si>
    <t xml:space="preserve">Ponticelli a U, 14 misure assortite</t>
  </si>
  <si>
    <t xml:space="preserve">Resistenze 10kΩ (pack 100 pz)</t>
  </si>
  <si>
    <t xml:space="preserve">Pull-down per reed switch. 1/4W</t>
  </si>
  <si>
    <t xml:space="preserve">MECCANICA — SISTEMA COREXY</t>
  </si>
  <si>
    <t xml:space="preserve">Meccanica</t>
  </si>
  <si>
    <t xml:space="preserve">Cinghia GT2 6mm 5m + 4 pulegge 20T 5mm</t>
  </si>
  <si>
    <t xml:space="preserve">Kit CoreXY. Servono ~4m + scorta</t>
  </si>
  <si>
    <t xml:space="preserve">Guide lineari Ø8mm x 400mm (set 4 aste)</t>
  </si>
  <si>
    <t xml:space="preserve">2 per asse X, 2 per asse Y</t>
  </si>
  <si>
    <t xml:space="preserve">Cuscinetti lineari LM8UU (pack 8 pz)</t>
  </si>
  <si>
    <t xml:space="preserve">4 per il carrello, 4 scorta</t>
  </si>
  <si>
    <t xml:space="preserve">Cuscinetti 625ZZ (pack 10 pz)</t>
  </si>
  <si>
    <t xml:space="preserve">Rinvii cinghia CoreXY agli angoli</t>
  </si>
  <si>
    <t xml:space="preserve">MECCANICA — MAGNETI E FISSAGGI</t>
  </si>
  <si>
    <t xml:space="preserve">Magneti</t>
  </si>
  <si>
    <t xml:space="preserve">Magneti neodimio N52 Ø10x3mm (pack 40 pz)</t>
  </si>
  <si>
    <t xml:space="preserve">33 per pezzi + 1 carrello + scorta. Forza ~1.5kg</t>
  </si>
  <si>
    <t xml:space="preserve">Fissaggi</t>
  </si>
  <si>
    <t xml:space="preserve">Viti M3 assortite + dadi + rondelle (kit 340 pz)</t>
  </si>
  <si>
    <t xml:space="preserve">Brugola. Per staffe, guide, montaggio</t>
  </si>
  <si>
    <t xml:space="preserve">Inserti filettati M3 a caldo (pack 50 pz)</t>
  </si>
  <si>
    <t xml:space="preserve">Si fondono nel PLA con saldatore</t>
  </si>
  <si>
    <t xml:space="preserve">STAMPA 3D — MATERIALI</t>
  </si>
  <si>
    <t xml:space="preserve">Stampa 3D</t>
  </si>
  <si>
    <t xml:space="preserve">Filamento PLA 1.75mm Bianco 1kg</t>
  </si>
  <si>
    <t xml:space="preserve">Per pezzi bianchi. Marca: GEEETECH o SUNLU</t>
  </si>
  <si>
    <t xml:space="preserve">Filamento PLA 1.75mm Nero 1kg</t>
  </si>
  <si>
    <t xml:space="preserve">Per pezzi neri + struttura. Marca: idem</t>
  </si>
  <si>
    <t xml:space="preserve">Colla epossidica bicomponente (tubo)</t>
  </si>
  <si>
    <t xml:space="preserve">Per incollare magneti N52 nelle basi pezzi</t>
  </si>
  <si>
    <t xml:space="preserve">STRUMENTI — DA COMPRARE</t>
  </si>
  <si>
    <t xml:space="preserve">Strumenti</t>
  </si>
  <si>
    <t xml:space="preserve">Multimetro digitale (KAIWEETS o AstroAI)</t>
  </si>
  <si>
    <t xml:space="preserve">Per calibrare A4988 e debug circuiti. Economico ok</t>
  </si>
  <si>
    <t xml:space="preserve">Kit saldatore a stagno 60W + accessori</t>
  </si>
  <si>
    <t xml:space="preserve">Per saldare reed switch. Kit con punte+stagno+pompa</t>
  </si>
  <si>
    <t xml:space="preserve">Pinzette antistatiche (set 6 pz)</t>
  </si>
  <si>
    <t xml:space="preserve">Per elettronica fine e posizionamento</t>
  </si>
  <si>
    <t xml:space="preserve">Cacciaviti di precisione (set)</t>
  </si>
  <si>
    <t xml:space="preserve">Per viti M3 e manutenzione</t>
  </si>
  <si>
    <t xml:space="preserve">Terza mano con lente e pinze</t>
  </si>
  <si>
    <t xml:space="preserve">Fondamentale per saldare i 128 fili dei reed switch</t>
  </si>
  <si>
    <t xml:space="preserve">TOTALE STIMATO</t>
  </si>
  <si>
    <t xml:space="preserve">💡 Risparmio AliExpress: reed switch + magneti + cavi da AliExpress → ~30€ in meno, ma 3-4 settimane di attesa</t>
  </si>
  <si>
    <t xml:space="preserve">⚠️ Prezzi stimati aprile 2026. Verificare su Amazon.it/AliExpress prima di ordinare.</t>
  </si>
  <si>
    <t xml:space="preserve">🖨️ Stampa 3D: pezzi + scacchiera + staffe con la stampante di Ceban (NovaLayers3D). PLA bianco + nero necessari.</t>
  </si>
  <si>
    <t xml:space="preserve">Ordine di Acquisto — Cosa comprare prima</t>
  </si>
  <si>
    <t xml:space="preserve">Priorità</t>
  </si>
  <si>
    <t xml:space="preserve">Fase</t>
  </si>
  <si>
    <t xml:space="preserve">Cosa comprare</t>
  </si>
  <si>
    <t xml:space="preserve">Perché prima</t>
  </si>
  <si>
    <t xml:space="preserve">Costo stim. (€)</t>
  </si>
  <si>
    <t xml:space="preserve">🥇 1</t>
  </si>
  <si>
    <t xml:space="preserve">Subito</t>
  </si>
  <si>
    <t xml:space="preserve">Raspberry Pi 4 2GB + MicroSD + alimentatore USB-C</t>
  </si>
  <si>
    <t xml:space="preserve">Setup SW: installare RPi OS, Stockfish, python-chess. Testare il codice.</t>
  </si>
  <si>
    <t xml:space="preserve">Multimetro digitale</t>
  </si>
  <si>
    <t xml:space="preserve">Serve per calibrare i driver A4988 (regolare Vref con trimmer)</t>
  </si>
  <si>
    <t xml:space="preserve">🥈 2</t>
  </si>
  <si>
    <t xml:space="preserve">NEMA 17 x2 + A4988 x5 + alimentatore 12V</t>
  </si>
  <si>
    <t xml:space="preserve">Test motori su breadboard. Verificare che stepper.py funziona sul ferro.</t>
  </si>
  <si>
    <t xml:space="preserve">Breadboard x2 + cavi Dupont + jumper rigidi + resistenze</t>
  </si>
  <si>
    <t xml:space="preserve">Prototyping circuiti motori e sensori</t>
  </si>
  <si>
    <t xml:space="preserve">Kit saldatore + terza mano + pinzette</t>
  </si>
  <si>
    <t xml:space="preserve">Per saldare i 128 fili dei reed switch (64 switch x 2 fili)</t>
  </si>
  <si>
    <t xml:space="preserve">🥉 3</t>
  </si>
  <si>
    <t xml:space="preserve">Reed switch x80 + multiplexer CD74HC4067 x3</t>
  </si>
  <si>
    <t xml:space="preserve">Test matrice sensori 8x8 su breadboard</t>
  </si>
  <si>
    <t xml:space="preserve">Cinghia GT2 + pulegge + guide 8mm + cuscinetti LM8UU + 625ZZ</t>
  </si>
  <si>
    <t xml:space="preserve">Costruire il telaio CoreXY</t>
  </si>
  <si>
    <t xml:space="preserve">4</t>
  </si>
  <si>
    <t xml:space="preserve">Magneti N52 x80 + colla epossidica + inserti M3</t>
  </si>
  <si>
    <t xml:space="preserve">Dopo aver stampato i pezzi con Ceban</t>
  </si>
  <si>
    <t xml:space="preserve">PLA bianco 1kg + PLA nero 1kg</t>
  </si>
  <si>
    <t xml:space="preserve">Per stampare da Ceban: 32 pezzi + scacchiera + staffe</t>
  </si>
  <si>
    <t xml:space="preserve">Viti M3 kit + cacciaviti precisione</t>
  </si>
  <si>
    <t xml:space="preserve">Montaggio finale</t>
  </si>
  <si>
    <t xml:space="preserve">TOTALE:</t>
  </si>
  <si>
    <t xml:space="preserve">Parti da stampare in 3D — Con stampante di Ceban (NovaLayers3D)</t>
  </si>
  <si>
    <t xml:space="preserve">Pezzo</t>
  </si>
  <si>
    <t xml:space="preserve">Quantità</t>
  </si>
  <si>
    <t xml:space="preserve">Materiale</t>
  </si>
  <si>
    <t xml:space="preserve">Colore</t>
  </si>
  <si>
    <t xml:space="preserve">Infill %</t>
  </si>
  <si>
    <t xml:space="preserve">Tempo stim.</t>
  </si>
  <si>
    <t xml:space="preserve">PEZZI SCACCHI</t>
  </si>
  <si>
    <t xml:space="preserve">Re (King)</t>
  </si>
  <si>
    <t xml:space="preserve">PLA</t>
  </si>
  <si>
    <t xml:space="preserve">1 bianco + 1 nero</t>
  </si>
  <si>
    <t xml:space="preserve">20%</t>
  </si>
  <si>
    <t xml:space="preserve">~45 min/pz</t>
  </si>
  <si>
    <t xml:space="preserve">Incavo Ø10x3.5mm nella base per magnete N52</t>
  </si>
  <si>
    <t xml:space="preserve">Regina (Queen)</t>
  </si>
  <si>
    <t xml:space="preserve">~40 min/pz</t>
  </si>
  <si>
    <t xml:space="preserve">Incavo per magnete nella base</t>
  </si>
  <si>
    <t xml:space="preserve">Torre (Rook)</t>
  </si>
  <si>
    <t xml:space="preserve">2 bianchi + 2 neri</t>
  </si>
  <si>
    <t xml:space="preserve">~30 min/pz</t>
  </si>
  <si>
    <t xml:space="preserve">Alfiere (Bishop)</t>
  </si>
  <si>
    <t xml:space="preserve">~35 min/pz</t>
  </si>
  <si>
    <t xml:space="preserve">Cavallo (Knight)</t>
  </si>
  <si>
    <t xml:space="preserve">~50 min/pz</t>
  </si>
  <si>
    <t xml:space="preserve">Il più complesso da stampare. Supporti necessari</t>
  </si>
  <si>
    <t xml:space="preserve">Pedone (Pawn)</t>
  </si>
  <si>
    <t xml:space="preserve">8 bianchi + 8 neri</t>
  </si>
  <si>
    <t xml:space="preserve">~20 min/pz</t>
  </si>
  <si>
    <t xml:space="preserve">Stampabili in batch da 8 (1 colore alla volta)</t>
  </si>
  <si>
    <t xml:space="preserve">STRUTTURA</t>
  </si>
  <si>
    <t xml:space="preserve">Piano scacchiera 40x40cm</t>
  </si>
  <si>
    <t xml:space="preserve">Bianco/nero</t>
  </si>
  <si>
    <t xml:space="preserve">15%</t>
  </si>
  <si>
    <t xml:space="preserve">~8-12h</t>
  </si>
  <si>
    <t xml:space="preserve">Stampare in sezioni 20x20cm (4 pezzi). Spessore 2.5-3mm</t>
  </si>
  <si>
    <t xml:space="preserve">Supporti guide lineari</t>
  </si>
  <si>
    <t xml:space="preserve">Nero</t>
  </si>
  <si>
    <t xml:space="preserve">40%</t>
  </si>
  <si>
    <t xml:space="preserve">~25 min/pz</t>
  </si>
  <si>
    <t xml:space="preserve">Staffe a L per fissare aste Ø8mm al telaio</t>
  </si>
  <si>
    <t xml:space="preserve">Carrello porta-magnete</t>
  </si>
  <si>
    <t xml:space="preserve">50%</t>
  </si>
  <si>
    <t xml:space="preserve">~1.5h</t>
  </si>
  <si>
    <t xml:space="preserve">Si aggancia ai 4 cuscinetti LM8UU. Sede magnete N52</t>
  </si>
  <si>
    <t xml:space="preserve">Supporti motore NEMA 17</t>
  </si>
  <si>
    <t xml:space="preserve">Fori per viti M3. Montaggio su telaio</t>
  </si>
  <si>
    <t xml:space="preserve">Tensionatori cinghia GT2</t>
  </si>
  <si>
    <t xml:space="preserve">Con sede cuscinetto 625ZZ per rinvio</t>
  </si>
  <si>
    <t xml:space="preserve">Supporti endstop</t>
  </si>
  <si>
    <t xml:space="preserve">30%</t>
  </si>
  <si>
    <t xml:space="preserve">~15 min/pz</t>
  </si>
  <si>
    <t xml:space="preserve">Per microswitch homing X e Y</t>
  </si>
  <si>
    <t xml:space="preserve">Case RPi 4</t>
  </si>
  <si>
    <t xml:space="preserve">~2h</t>
  </si>
  <si>
    <t xml:space="preserve">Ventilazione + accesso GPIO e porte</t>
  </si>
  <si>
    <t xml:space="preserve">Copertura cablaggio</t>
  </si>
  <si>
    <t xml:space="preserve">~1h</t>
  </si>
  <si>
    <t xml:space="preserve">Cable management sotto la scacchiera</t>
  </si>
  <si>
    <t xml:space="preserve">Impostazioni consigliate: Layer 0.2mm, velocità 50mm/s, nozzle 0.4mm, temperatura PLA 200-210°C, letto 60°C</t>
  </si>
  <si>
    <t xml:space="preserve">Filamento totale stimato: ~600-800g bianco + ~400-600g nero. Comprare 1kg per colore con margine.</t>
  </si>
  <si>
    <t xml:space="preserve">Da chiedere a Ceban: verificare se la stampante gestisce pezzi 20x20cm (volume di stampa). Altrimenti sezioni più piccole.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</si>
</sst>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#,##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92400E"/>
      <name val="Arial"/>
      <family val="0"/>
      <charset val="1"/>
    </font>
    <font>
      <b val="true"/>
      <sz val="14"/>
      <color rgb="FF1F293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B82F6"/>
        <bgColor rgb="FF0066CC"/>
      </patternFill>
    </fill>
    <fill>
      <patternFill patternType="solid">
        <fgColor rgb="FFF9FAFB"/>
        <bgColor rgb="FFFFFFFF"/>
      </patternFill>
    </fill>
    <fill>
      <patternFill patternType="solid">
        <fgColor rgb="FFFEF3C7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/>
      <right/>
      <top style="medium">
        <color rgb="FF1F293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fgColor rgb="FF3B82F6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10B981"/>
      <rgbColor rgb="FF003300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3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7.75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n">
        <v>1</v>
      </c>
      <c r="B6" s="6" t="s">
        <v>11</v>
      </c>
      <c r="C6" s="6" t="s">
        <v>12</v>
      </c>
      <c r="D6" s="5" t="n">
        <v>1</v>
      </c>
      <c r="E6" s="7" t="n">
        <v>55</v>
      </c>
      <c r="F6" s="7" t="n">
        <f aca="false">D6*E6</f>
        <v>55</v>
      </c>
      <c r="G6" s="6" t="s">
        <v>13</v>
      </c>
      <c r="H6" s="6" t="s">
        <v>14</v>
      </c>
    </row>
    <row r="7" customFormat="false" ht="15" hidden="false" customHeight="false" outlineLevel="0" collapsed="false">
      <c r="A7" s="8" t="n">
        <v>2</v>
      </c>
      <c r="B7" s="9" t="s">
        <v>11</v>
      </c>
      <c r="C7" s="9" t="s">
        <v>15</v>
      </c>
      <c r="D7" s="8" t="n">
        <v>1</v>
      </c>
      <c r="E7" s="10" t="n">
        <v>8</v>
      </c>
      <c r="F7" s="10" t="n">
        <f aca="false">D7*E7</f>
        <v>8</v>
      </c>
      <c r="G7" s="9" t="s">
        <v>13</v>
      </c>
      <c r="H7" s="9" t="s">
        <v>16</v>
      </c>
    </row>
    <row r="8" customFormat="false" ht="15" hidden="false" customHeight="false" outlineLevel="0" collapsed="false">
      <c r="A8" s="5" t="n">
        <v>3</v>
      </c>
      <c r="B8" s="6" t="s">
        <v>11</v>
      </c>
      <c r="C8" s="6" t="s">
        <v>17</v>
      </c>
      <c r="D8" s="5" t="n">
        <v>1</v>
      </c>
      <c r="E8" s="7" t="n">
        <v>10</v>
      </c>
      <c r="F8" s="7" t="n">
        <f aca="false">D8*E8</f>
        <v>10</v>
      </c>
      <c r="G8" s="6" t="s">
        <v>13</v>
      </c>
      <c r="H8" s="6" t="s">
        <v>18</v>
      </c>
    </row>
    <row r="9" customFormat="false" ht="15" hidden="false" customHeight="false" outlineLevel="0" collapsed="false">
      <c r="A9" s="8" t="n">
        <v>4</v>
      </c>
      <c r="B9" s="9" t="s">
        <v>11</v>
      </c>
      <c r="C9" s="9" t="s">
        <v>19</v>
      </c>
      <c r="D9" s="8" t="n">
        <v>1</v>
      </c>
      <c r="E9" s="10" t="n">
        <v>12</v>
      </c>
      <c r="F9" s="10" t="n">
        <f aca="false">D9*E9</f>
        <v>12</v>
      </c>
      <c r="G9" s="9" t="s">
        <v>13</v>
      </c>
      <c r="H9" s="9" t="s">
        <v>20</v>
      </c>
    </row>
    <row r="10" customFormat="false" ht="27.75" hidden="false" customHeight="true" outlineLevel="0" collapsed="false">
      <c r="A10" s="4" t="s">
        <v>21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5" t="n">
        <v>5</v>
      </c>
      <c r="B11" s="6" t="s">
        <v>22</v>
      </c>
      <c r="C11" s="6" t="s">
        <v>23</v>
      </c>
      <c r="D11" s="5" t="n">
        <v>2</v>
      </c>
      <c r="E11" s="7" t="n">
        <v>9</v>
      </c>
      <c r="F11" s="7" t="n">
        <f aca="false">D11*E11</f>
        <v>18</v>
      </c>
      <c r="G11" s="6" t="s">
        <v>13</v>
      </c>
      <c r="H11" s="6" t="s">
        <v>24</v>
      </c>
    </row>
    <row r="12" customFormat="false" ht="15" hidden="false" customHeight="false" outlineLevel="0" collapsed="false">
      <c r="A12" s="8" t="n">
        <v>6</v>
      </c>
      <c r="B12" s="9" t="s">
        <v>22</v>
      </c>
      <c r="C12" s="9" t="s">
        <v>25</v>
      </c>
      <c r="D12" s="8" t="n">
        <v>1</v>
      </c>
      <c r="E12" s="10" t="n">
        <v>8</v>
      </c>
      <c r="F12" s="10" t="n">
        <f aca="false">D12*E12</f>
        <v>8</v>
      </c>
      <c r="G12" s="9" t="s">
        <v>13</v>
      </c>
      <c r="H12" s="9" t="s">
        <v>26</v>
      </c>
    </row>
    <row r="13" customFormat="false" ht="27.75" hidden="false" customHeight="true" outlineLevel="0" collapsed="false">
      <c r="A13" s="4" t="s">
        <v>27</v>
      </c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5" t="n">
        <v>7</v>
      </c>
      <c r="B14" s="6" t="s">
        <v>28</v>
      </c>
      <c r="C14" s="6" t="s">
        <v>29</v>
      </c>
      <c r="D14" s="5" t="n">
        <v>4</v>
      </c>
      <c r="E14" s="7" t="n">
        <v>5</v>
      </c>
      <c r="F14" s="7" t="n">
        <f aca="false">D14*E14</f>
        <v>20</v>
      </c>
      <c r="G14" s="6" t="s">
        <v>30</v>
      </c>
      <c r="H14" s="6" t="s">
        <v>31</v>
      </c>
    </row>
    <row r="15" customFormat="false" ht="15" hidden="false" customHeight="false" outlineLevel="0" collapsed="false">
      <c r="A15" s="8" t="n">
        <v>8</v>
      </c>
      <c r="B15" s="9" t="s">
        <v>28</v>
      </c>
      <c r="C15" s="9" t="s">
        <v>32</v>
      </c>
      <c r="D15" s="8" t="n">
        <v>1</v>
      </c>
      <c r="E15" s="10" t="n">
        <v>5</v>
      </c>
      <c r="F15" s="10" t="n">
        <f aca="false">D15*E15</f>
        <v>5</v>
      </c>
      <c r="G15" s="9" t="s">
        <v>13</v>
      </c>
      <c r="H15" s="9" t="s">
        <v>33</v>
      </c>
    </row>
    <row r="16" customFormat="false" ht="27.75" hidden="false" customHeight="true" outlineLevel="0" collapsed="false">
      <c r="A16" s="4" t="s">
        <v>34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5" t="n">
        <v>9</v>
      </c>
      <c r="B17" s="6" t="s">
        <v>35</v>
      </c>
      <c r="C17" s="6" t="s">
        <v>36</v>
      </c>
      <c r="D17" s="5" t="n">
        <v>2</v>
      </c>
      <c r="E17" s="7" t="n">
        <v>4</v>
      </c>
      <c r="F17" s="7" t="n">
        <f aca="false">D17*E17</f>
        <v>8</v>
      </c>
      <c r="G17" s="6" t="s">
        <v>13</v>
      </c>
      <c r="H17" s="6" t="s">
        <v>37</v>
      </c>
    </row>
    <row r="18" customFormat="false" ht="15" hidden="false" customHeight="false" outlineLevel="0" collapsed="false">
      <c r="A18" s="8" t="n">
        <v>10</v>
      </c>
      <c r="B18" s="9" t="s">
        <v>35</v>
      </c>
      <c r="C18" s="9" t="s">
        <v>38</v>
      </c>
      <c r="D18" s="8" t="n">
        <v>2</v>
      </c>
      <c r="E18" s="10" t="n">
        <v>4</v>
      </c>
      <c r="F18" s="10" t="n">
        <f aca="false">D18*E18</f>
        <v>8</v>
      </c>
      <c r="G18" s="9" t="s">
        <v>13</v>
      </c>
      <c r="H18" s="9" t="s">
        <v>39</v>
      </c>
    </row>
    <row r="19" customFormat="false" ht="15" hidden="false" customHeight="false" outlineLevel="0" collapsed="false">
      <c r="A19" s="5" t="n">
        <v>11</v>
      </c>
      <c r="B19" s="6" t="s">
        <v>35</v>
      </c>
      <c r="C19" s="6" t="s">
        <v>40</v>
      </c>
      <c r="D19" s="5" t="n">
        <v>1</v>
      </c>
      <c r="E19" s="7" t="n">
        <v>8</v>
      </c>
      <c r="F19" s="7" t="n">
        <f aca="false">D19*E19</f>
        <v>8</v>
      </c>
      <c r="G19" s="6" t="s">
        <v>13</v>
      </c>
      <c r="H19" s="6" t="s">
        <v>41</v>
      </c>
    </row>
    <row r="20" customFormat="false" ht="15" hidden="false" customHeight="false" outlineLevel="0" collapsed="false">
      <c r="A20" s="8" t="n">
        <v>12</v>
      </c>
      <c r="B20" s="9" t="s">
        <v>35</v>
      </c>
      <c r="C20" s="9" t="s">
        <v>42</v>
      </c>
      <c r="D20" s="8" t="n">
        <v>1</v>
      </c>
      <c r="E20" s="10" t="n">
        <v>3</v>
      </c>
      <c r="F20" s="10" t="n">
        <f aca="false">D20*E20</f>
        <v>3</v>
      </c>
      <c r="G20" s="9" t="s">
        <v>13</v>
      </c>
      <c r="H20" s="9" t="s">
        <v>43</v>
      </c>
    </row>
    <row r="21" customFormat="false" ht="27.75" hidden="false" customHeight="true" outlineLevel="0" collapsed="false">
      <c r="A21" s="4" t="s">
        <v>44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5" t="n">
        <v>13</v>
      </c>
      <c r="B22" s="6" t="s">
        <v>45</v>
      </c>
      <c r="C22" s="6" t="s">
        <v>46</v>
      </c>
      <c r="D22" s="5" t="n">
        <v>1</v>
      </c>
      <c r="E22" s="7" t="n">
        <v>12</v>
      </c>
      <c r="F22" s="7" t="n">
        <f aca="false">D22*E22</f>
        <v>12</v>
      </c>
      <c r="G22" s="6" t="s">
        <v>13</v>
      </c>
      <c r="H22" s="6" t="s">
        <v>47</v>
      </c>
    </row>
    <row r="23" customFormat="false" ht="15" hidden="false" customHeight="false" outlineLevel="0" collapsed="false">
      <c r="A23" s="8" t="n">
        <v>14</v>
      </c>
      <c r="B23" s="9" t="s">
        <v>45</v>
      </c>
      <c r="C23" s="9" t="s">
        <v>48</v>
      </c>
      <c r="D23" s="8" t="n">
        <v>1</v>
      </c>
      <c r="E23" s="10" t="n">
        <v>15</v>
      </c>
      <c r="F23" s="10" t="n">
        <f aca="false">D23*E23</f>
        <v>15</v>
      </c>
      <c r="G23" s="9" t="s">
        <v>13</v>
      </c>
      <c r="H23" s="9" t="s">
        <v>49</v>
      </c>
    </row>
    <row r="24" customFormat="false" ht="15" hidden="false" customHeight="false" outlineLevel="0" collapsed="false">
      <c r="A24" s="5" t="n">
        <v>15</v>
      </c>
      <c r="B24" s="6" t="s">
        <v>45</v>
      </c>
      <c r="C24" s="6" t="s">
        <v>50</v>
      </c>
      <c r="D24" s="5" t="n">
        <v>1</v>
      </c>
      <c r="E24" s="7" t="n">
        <v>6</v>
      </c>
      <c r="F24" s="7" t="n">
        <f aca="false">D24*E24</f>
        <v>6</v>
      </c>
      <c r="G24" s="6" t="s">
        <v>13</v>
      </c>
      <c r="H24" s="6" t="s">
        <v>51</v>
      </c>
    </row>
    <row r="25" customFormat="false" ht="15" hidden="false" customHeight="false" outlineLevel="0" collapsed="false">
      <c r="A25" s="8" t="n">
        <v>16</v>
      </c>
      <c r="B25" s="9" t="s">
        <v>45</v>
      </c>
      <c r="C25" s="9" t="s">
        <v>52</v>
      </c>
      <c r="D25" s="8" t="n">
        <v>1</v>
      </c>
      <c r="E25" s="10" t="n">
        <v>5</v>
      </c>
      <c r="F25" s="10" t="n">
        <f aca="false">D25*E25</f>
        <v>5</v>
      </c>
      <c r="G25" s="9" t="s">
        <v>13</v>
      </c>
      <c r="H25" s="9" t="s">
        <v>53</v>
      </c>
    </row>
    <row r="26" customFormat="false" ht="27.75" hidden="false" customHeight="true" outlineLevel="0" collapsed="false">
      <c r="A26" s="4" t="s">
        <v>54</v>
      </c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5" t="n">
        <v>17</v>
      </c>
      <c r="B27" s="6" t="s">
        <v>55</v>
      </c>
      <c r="C27" s="6" t="s">
        <v>56</v>
      </c>
      <c r="D27" s="5" t="n">
        <v>2</v>
      </c>
      <c r="E27" s="7" t="n">
        <v>9</v>
      </c>
      <c r="F27" s="7" t="n">
        <f aca="false">D27*E27</f>
        <v>18</v>
      </c>
      <c r="G27" s="6" t="s">
        <v>13</v>
      </c>
      <c r="H27" s="6" t="s">
        <v>57</v>
      </c>
    </row>
    <row r="28" customFormat="false" ht="15" hidden="false" customHeight="false" outlineLevel="0" collapsed="false">
      <c r="A28" s="8" t="n">
        <v>18</v>
      </c>
      <c r="B28" s="9" t="s">
        <v>58</v>
      </c>
      <c r="C28" s="9" t="s">
        <v>59</v>
      </c>
      <c r="D28" s="8" t="n">
        <v>1</v>
      </c>
      <c r="E28" s="10" t="n">
        <v>8</v>
      </c>
      <c r="F28" s="10" t="n">
        <f aca="false">D28*E28</f>
        <v>8</v>
      </c>
      <c r="G28" s="9" t="s">
        <v>13</v>
      </c>
      <c r="H28" s="9" t="s">
        <v>60</v>
      </c>
    </row>
    <row r="29" customFormat="false" ht="15" hidden="false" customHeight="false" outlineLevel="0" collapsed="false">
      <c r="A29" s="5" t="n">
        <v>19</v>
      </c>
      <c r="B29" s="6" t="s">
        <v>58</v>
      </c>
      <c r="C29" s="6" t="s">
        <v>61</v>
      </c>
      <c r="D29" s="5" t="n">
        <v>1</v>
      </c>
      <c r="E29" s="7" t="n">
        <v>6</v>
      </c>
      <c r="F29" s="7" t="n">
        <f aca="false">D29*E29</f>
        <v>6</v>
      </c>
      <c r="G29" s="6" t="s">
        <v>13</v>
      </c>
      <c r="H29" s="6" t="s">
        <v>62</v>
      </c>
    </row>
    <row r="30" customFormat="false" ht="27.75" hidden="false" customHeight="true" outlineLevel="0" collapsed="false">
      <c r="A30" s="4" t="s">
        <v>63</v>
      </c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8" t="n">
        <v>20</v>
      </c>
      <c r="B31" s="9" t="s">
        <v>64</v>
      </c>
      <c r="C31" s="9" t="s">
        <v>65</v>
      </c>
      <c r="D31" s="8" t="n">
        <v>1</v>
      </c>
      <c r="E31" s="10" t="n">
        <v>18</v>
      </c>
      <c r="F31" s="10" t="n">
        <f aca="false">D31*E31</f>
        <v>18</v>
      </c>
      <c r="G31" s="9" t="s">
        <v>13</v>
      </c>
      <c r="H31" s="9" t="s">
        <v>66</v>
      </c>
    </row>
    <row r="32" customFormat="false" ht="15" hidden="false" customHeight="false" outlineLevel="0" collapsed="false">
      <c r="A32" s="5" t="n">
        <v>21</v>
      </c>
      <c r="B32" s="6" t="s">
        <v>64</v>
      </c>
      <c r="C32" s="6" t="s">
        <v>67</v>
      </c>
      <c r="D32" s="5" t="n">
        <v>1</v>
      </c>
      <c r="E32" s="7" t="n">
        <v>18</v>
      </c>
      <c r="F32" s="7" t="n">
        <f aca="false">D32*E32</f>
        <v>18</v>
      </c>
      <c r="G32" s="6" t="s">
        <v>13</v>
      </c>
      <c r="H32" s="6" t="s">
        <v>68</v>
      </c>
    </row>
    <row r="33" customFormat="false" ht="15" hidden="false" customHeight="false" outlineLevel="0" collapsed="false">
      <c r="A33" s="8" t="n">
        <v>22</v>
      </c>
      <c r="B33" s="9" t="s">
        <v>64</v>
      </c>
      <c r="C33" s="9" t="s">
        <v>69</v>
      </c>
      <c r="D33" s="8" t="n">
        <v>1</v>
      </c>
      <c r="E33" s="10" t="n">
        <v>5</v>
      </c>
      <c r="F33" s="10" t="n">
        <f aca="false">D33*E33</f>
        <v>5</v>
      </c>
      <c r="G33" s="9" t="s">
        <v>13</v>
      </c>
      <c r="H33" s="9" t="s">
        <v>70</v>
      </c>
    </row>
    <row r="34" customFormat="false" ht="27.75" hidden="false" customHeight="true" outlineLevel="0" collapsed="false">
      <c r="A34" s="4" t="s">
        <v>71</v>
      </c>
      <c r="B34" s="4"/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5" t="n">
        <v>23</v>
      </c>
      <c r="B35" s="6" t="s">
        <v>72</v>
      </c>
      <c r="C35" s="6" t="s">
        <v>73</v>
      </c>
      <c r="D35" s="5" t="n">
        <v>1</v>
      </c>
      <c r="E35" s="7" t="n">
        <v>15</v>
      </c>
      <c r="F35" s="7" t="n">
        <f aca="false">D35*E35</f>
        <v>15</v>
      </c>
      <c r="G35" s="6" t="s">
        <v>13</v>
      </c>
      <c r="H35" s="6" t="s">
        <v>74</v>
      </c>
    </row>
    <row r="36" customFormat="false" ht="15" hidden="false" customHeight="false" outlineLevel="0" collapsed="false">
      <c r="A36" s="8" t="n">
        <v>24</v>
      </c>
      <c r="B36" s="9" t="s">
        <v>72</v>
      </c>
      <c r="C36" s="9" t="s">
        <v>75</v>
      </c>
      <c r="D36" s="8" t="n">
        <v>1</v>
      </c>
      <c r="E36" s="10" t="n">
        <v>20</v>
      </c>
      <c r="F36" s="10" t="n">
        <f aca="false">D36*E36</f>
        <v>20</v>
      </c>
      <c r="G36" s="9" t="s">
        <v>13</v>
      </c>
      <c r="H36" s="9" t="s">
        <v>76</v>
      </c>
    </row>
    <row r="37" customFormat="false" ht="15" hidden="false" customHeight="false" outlineLevel="0" collapsed="false">
      <c r="A37" s="5" t="n">
        <v>25</v>
      </c>
      <c r="B37" s="6" t="s">
        <v>72</v>
      </c>
      <c r="C37" s="6" t="s">
        <v>77</v>
      </c>
      <c r="D37" s="5" t="n">
        <v>1</v>
      </c>
      <c r="E37" s="7" t="n">
        <v>6</v>
      </c>
      <c r="F37" s="7" t="n">
        <f aca="false">D37*E37</f>
        <v>6</v>
      </c>
      <c r="G37" s="6" t="s">
        <v>13</v>
      </c>
      <c r="H37" s="6" t="s">
        <v>78</v>
      </c>
    </row>
    <row r="38" customFormat="false" ht="15" hidden="false" customHeight="false" outlineLevel="0" collapsed="false">
      <c r="A38" s="8" t="n">
        <v>26</v>
      </c>
      <c r="B38" s="9" t="s">
        <v>72</v>
      </c>
      <c r="C38" s="9" t="s">
        <v>79</v>
      </c>
      <c r="D38" s="8" t="n">
        <v>1</v>
      </c>
      <c r="E38" s="10" t="n">
        <v>8</v>
      </c>
      <c r="F38" s="10" t="n">
        <f aca="false">D38*E38</f>
        <v>8</v>
      </c>
      <c r="G38" s="9" t="s">
        <v>13</v>
      </c>
      <c r="H38" s="9" t="s">
        <v>80</v>
      </c>
    </row>
    <row r="39" customFormat="false" ht="15" hidden="false" customHeight="false" outlineLevel="0" collapsed="false">
      <c r="A39" s="5" t="n">
        <v>27</v>
      </c>
      <c r="B39" s="6" t="s">
        <v>72</v>
      </c>
      <c r="C39" s="6" t="s">
        <v>81</v>
      </c>
      <c r="D39" s="5" t="n">
        <v>1</v>
      </c>
      <c r="E39" s="7" t="n">
        <v>12</v>
      </c>
      <c r="F39" s="7" t="n">
        <f aca="false">D39*E39</f>
        <v>12</v>
      </c>
      <c r="G39" s="6" t="s">
        <v>13</v>
      </c>
      <c r="H39" s="6" t="s">
        <v>82</v>
      </c>
    </row>
    <row r="41" customFormat="false" ht="30" hidden="false" customHeight="true" outlineLevel="0" collapsed="false">
      <c r="A41" s="11" t="s">
        <v>83</v>
      </c>
      <c r="B41" s="11"/>
      <c r="C41" s="11"/>
      <c r="D41" s="11"/>
      <c r="E41" s="11"/>
      <c r="F41" s="12" t="n">
        <f aca="false">F6+F7+F8+F9+F11+F12+F14+F15+F17+F18+F19+F20+F22+F23+F24+F25+F27+F28+F29+F31+F32+F33+F35+F36+F37+F38+F39</f>
        <v>335</v>
      </c>
      <c r="G41" s="13"/>
      <c r="H41" s="13"/>
    </row>
    <row r="43" customFormat="false" ht="15" hidden="false" customHeight="false" outlineLevel="0" collapsed="false">
      <c r="A43" s="14" t="s">
        <v>84</v>
      </c>
      <c r="B43" s="14"/>
      <c r="C43" s="14"/>
      <c r="D43" s="14"/>
      <c r="E43" s="14"/>
      <c r="F43" s="14"/>
      <c r="G43" s="14"/>
      <c r="H43" s="14"/>
    </row>
    <row r="44" customFormat="false" ht="15" hidden="false" customHeight="false" outlineLevel="0" collapsed="false">
      <c r="A44" s="14" t="s">
        <v>85</v>
      </c>
      <c r="B44" s="14"/>
      <c r="C44" s="14"/>
      <c r="D44" s="14"/>
      <c r="E44" s="14"/>
      <c r="F44" s="14"/>
      <c r="G44" s="14"/>
      <c r="H44" s="14"/>
    </row>
    <row r="45" customFormat="false" ht="15" hidden="false" customHeight="false" outlineLevel="0" collapsed="false">
      <c r="A45" s="14" t="s">
        <v>86</v>
      </c>
      <c r="B45" s="14"/>
      <c r="C45" s="14"/>
      <c r="D45" s="14"/>
      <c r="E45" s="14"/>
      <c r="F45" s="14"/>
      <c r="G45" s="14"/>
      <c r="H45" s="14"/>
    </row>
  </sheetData>
  <autoFilter ref="A4:H40"/>
  <mergeCells count="14">
    <mergeCell ref="A1:H1"/>
    <mergeCell ref="A2:H2"/>
    <mergeCell ref="A5:H5"/>
    <mergeCell ref="A10:H10"/>
    <mergeCell ref="A13:H13"/>
    <mergeCell ref="A16:H16"/>
    <mergeCell ref="A21:H21"/>
    <mergeCell ref="A26:H26"/>
    <mergeCell ref="A30:H30"/>
    <mergeCell ref="A34:H34"/>
    <mergeCell ref="A41:E41"/>
    <mergeCell ref="A43:H43"/>
    <mergeCell ref="A44:H44"/>
    <mergeCell ref="A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50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5" t="s">
        <v>87</v>
      </c>
      <c r="B1" s="15"/>
      <c r="C1" s="15"/>
      <c r="D1" s="15"/>
      <c r="E1" s="15"/>
    </row>
    <row r="3" customFormat="false" ht="26.85" hidden="false" customHeight="false" outlineLevel="0" collapsed="false">
      <c r="A3" s="3" t="s">
        <v>88</v>
      </c>
      <c r="B3" s="3" t="s">
        <v>89</v>
      </c>
      <c r="C3" s="3" t="s">
        <v>90</v>
      </c>
      <c r="D3" s="3" t="s">
        <v>91</v>
      </c>
      <c r="E3" s="3" t="s">
        <v>92</v>
      </c>
    </row>
    <row r="4" customFormat="false" ht="15" hidden="false" customHeight="false" outlineLevel="0" collapsed="false">
      <c r="A4" s="8" t="s">
        <v>93</v>
      </c>
      <c r="B4" s="9" t="s">
        <v>94</v>
      </c>
      <c r="C4" s="9" t="s">
        <v>95</v>
      </c>
      <c r="D4" s="9" t="s">
        <v>96</v>
      </c>
      <c r="E4" s="16" t="n">
        <v>73</v>
      </c>
    </row>
    <row r="5" customFormat="false" ht="15" hidden="false" customHeight="false" outlineLevel="0" collapsed="false">
      <c r="A5" s="5" t="s">
        <v>93</v>
      </c>
      <c r="B5" s="6" t="s">
        <v>94</v>
      </c>
      <c r="C5" s="6" t="s">
        <v>97</v>
      </c>
      <c r="D5" s="6" t="s">
        <v>98</v>
      </c>
      <c r="E5" s="17" t="n">
        <v>15</v>
      </c>
    </row>
    <row r="6" customFormat="false" ht="15" hidden="false" customHeight="false" outlineLevel="0" collapsed="false">
      <c r="A6" s="8" t="s">
        <v>99</v>
      </c>
      <c r="B6" s="9" t="s">
        <v>11</v>
      </c>
      <c r="C6" s="9" t="s">
        <v>100</v>
      </c>
      <c r="D6" s="9" t="s">
        <v>101</v>
      </c>
      <c r="E6" s="16" t="n">
        <v>38</v>
      </c>
    </row>
    <row r="7" customFormat="false" ht="15" hidden="false" customHeight="false" outlineLevel="0" collapsed="false">
      <c r="A7" s="5" t="s">
        <v>99</v>
      </c>
      <c r="B7" s="6" t="s">
        <v>11</v>
      </c>
      <c r="C7" s="6" t="s">
        <v>102</v>
      </c>
      <c r="D7" s="6" t="s">
        <v>103</v>
      </c>
      <c r="E7" s="17" t="n">
        <v>23</v>
      </c>
    </row>
    <row r="8" customFormat="false" ht="15" hidden="false" customHeight="false" outlineLevel="0" collapsed="false">
      <c r="A8" s="8" t="s">
        <v>99</v>
      </c>
      <c r="B8" s="9" t="s">
        <v>11</v>
      </c>
      <c r="C8" s="9" t="s">
        <v>104</v>
      </c>
      <c r="D8" s="9" t="s">
        <v>105</v>
      </c>
      <c r="E8" s="16" t="n">
        <v>38</v>
      </c>
    </row>
    <row r="9" customFormat="false" ht="15" hidden="false" customHeight="false" outlineLevel="0" collapsed="false">
      <c r="A9" s="5" t="s">
        <v>106</v>
      </c>
      <c r="B9" s="6" t="s">
        <v>28</v>
      </c>
      <c r="C9" s="6" t="s">
        <v>107</v>
      </c>
      <c r="D9" s="6" t="s">
        <v>108</v>
      </c>
      <c r="E9" s="17" t="n">
        <v>25</v>
      </c>
    </row>
    <row r="10" customFormat="false" ht="15" hidden="false" customHeight="false" outlineLevel="0" collapsed="false">
      <c r="A10" s="8" t="s">
        <v>106</v>
      </c>
      <c r="B10" s="9" t="s">
        <v>45</v>
      </c>
      <c r="C10" s="9" t="s">
        <v>109</v>
      </c>
      <c r="D10" s="9" t="s">
        <v>110</v>
      </c>
      <c r="E10" s="16" t="n">
        <v>38</v>
      </c>
    </row>
    <row r="11" customFormat="false" ht="15" hidden="false" customHeight="false" outlineLevel="0" collapsed="false">
      <c r="A11" s="5" t="s">
        <v>111</v>
      </c>
      <c r="B11" s="6" t="s">
        <v>55</v>
      </c>
      <c r="C11" s="6" t="s">
        <v>112</v>
      </c>
      <c r="D11" s="6" t="s">
        <v>113</v>
      </c>
      <c r="E11" s="17" t="n">
        <v>29</v>
      </c>
    </row>
    <row r="12" customFormat="false" ht="15" hidden="false" customHeight="false" outlineLevel="0" collapsed="false">
      <c r="A12" s="8" t="s">
        <v>111</v>
      </c>
      <c r="B12" s="9" t="s">
        <v>64</v>
      </c>
      <c r="C12" s="9" t="s">
        <v>114</v>
      </c>
      <c r="D12" s="9" t="s">
        <v>115</v>
      </c>
      <c r="E12" s="16" t="n">
        <v>36</v>
      </c>
    </row>
    <row r="13" customFormat="false" ht="15" hidden="false" customHeight="false" outlineLevel="0" collapsed="false">
      <c r="A13" s="5" t="s">
        <v>111</v>
      </c>
      <c r="B13" s="6" t="s">
        <v>58</v>
      </c>
      <c r="C13" s="6" t="s">
        <v>116</v>
      </c>
      <c r="D13" s="6" t="s">
        <v>117</v>
      </c>
      <c r="E13" s="17" t="n">
        <v>16</v>
      </c>
    </row>
    <row r="15" customFormat="false" ht="15" hidden="false" customHeight="false" outlineLevel="0" collapsed="false">
      <c r="D15" s="18" t="s">
        <v>118</v>
      </c>
      <c r="E15" s="19" t="n">
        <f aca="false">SUM(E4:E13)</f>
        <v>331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5" t="s">
        <v>119</v>
      </c>
      <c r="B1" s="15"/>
      <c r="C1" s="15"/>
      <c r="D1" s="15"/>
      <c r="E1" s="15"/>
      <c r="F1" s="15"/>
      <c r="G1" s="15"/>
      <c r="H1" s="15"/>
    </row>
    <row r="3" customFormat="false" ht="15" hidden="false" customHeight="false" outlineLevel="0" collapsed="false">
      <c r="A3" s="3" t="s">
        <v>2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9</v>
      </c>
    </row>
    <row r="4" customFormat="false" ht="24.75" hidden="false" customHeight="true" outlineLevel="0" collapsed="false">
      <c r="A4" s="4" t="s">
        <v>126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n">
        <v>1</v>
      </c>
      <c r="B5" s="6" t="s">
        <v>127</v>
      </c>
      <c r="C5" s="5" t="n">
        <v>2</v>
      </c>
      <c r="D5" s="6" t="s">
        <v>128</v>
      </c>
      <c r="E5" s="6" t="s">
        <v>129</v>
      </c>
      <c r="F5" s="5" t="s">
        <v>130</v>
      </c>
      <c r="G5" s="5" t="s">
        <v>131</v>
      </c>
      <c r="H5" s="6" t="s">
        <v>132</v>
      </c>
    </row>
    <row r="6" customFormat="false" ht="15" hidden="false" customHeight="false" outlineLevel="0" collapsed="false">
      <c r="A6" s="8" t="n">
        <v>2</v>
      </c>
      <c r="B6" s="9" t="s">
        <v>133</v>
      </c>
      <c r="C6" s="8" t="n">
        <v>2</v>
      </c>
      <c r="D6" s="9" t="s">
        <v>128</v>
      </c>
      <c r="E6" s="9" t="s">
        <v>129</v>
      </c>
      <c r="F6" s="8" t="s">
        <v>130</v>
      </c>
      <c r="G6" s="8" t="s">
        <v>134</v>
      </c>
      <c r="H6" s="9" t="s">
        <v>135</v>
      </c>
    </row>
    <row r="7" customFormat="false" ht="15" hidden="false" customHeight="false" outlineLevel="0" collapsed="false">
      <c r="A7" s="5" t="n">
        <v>3</v>
      </c>
      <c r="B7" s="6" t="s">
        <v>136</v>
      </c>
      <c r="C7" s="5" t="n">
        <v>4</v>
      </c>
      <c r="D7" s="6" t="s">
        <v>128</v>
      </c>
      <c r="E7" s="6" t="s">
        <v>137</v>
      </c>
      <c r="F7" s="5" t="s">
        <v>130</v>
      </c>
      <c r="G7" s="5" t="s">
        <v>138</v>
      </c>
      <c r="H7" s="6" t="s">
        <v>135</v>
      </c>
    </row>
    <row r="8" customFormat="false" ht="15" hidden="false" customHeight="false" outlineLevel="0" collapsed="false">
      <c r="A8" s="8" t="n">
        <v>4</v>
      </c>
      <c r="B8" s="9" t="s">
        <v>139</v>
      </c>
      <c r="C8" s="8" t="n">
        <v>4</v>
      </c>
      <c r="D8" s="9" t="s">
        <v>128</v>
      </c>
      <c r="E8" s="9" t="s">
        <v>137</v>
      </c>
      <c r="F8" s="8" t="s">
        <v>130</v>
      </c>
      <c r="G8" s="8" t="s">
        <v>140</v>
      </c>
      <c r="H8" s="9" t="s">
        <v>135</v>
      </c>
    </row>
    <row r="9" customFormat="false" ht="15" hidden="false" customHeight="false" outlineLevel="0" collapsed="false">
      <c r="A9" s="5" t="n">
        <v>5</v>
      </c>
      <c r="B9" s="6" t="s">
        <v>141</v>
      </c>
      <c r="C9" s="5" t="n">
        <v>4</v>
      </c>
      <c r="D9" s="6" t="s">
        <v>128</v>
      </c>
      <c r="E9" s="6" t="s">
        <v>137</v>
      </c>
      <c r="F9" s="5" t="s">
        <v>130</v>
      </c>
      <c r="G9" s="5" t="s">
        <v>142</v>
      </c>
      <c r="H9" s="6" t="s">
        <v>143</v>
      </c>
    </row>
    <row r="10" customFormat="false" ht="15" hidden="false" customHeight="false" outlineLevel="0" collapsed="false">
      <c r="A10" s="8" t="n">
        <v>6</v>
      </c>
      <c r="B10" s="9" t="s">
        <v>144</v>
      </c>
      <c r="C10" s="8" t="n">
        <v>16</v>
      </c>
      <c r="D10" s="9" t="s">
        <v>128</v>
      </c>
      <c r="E10" s="9" t="s">
        <v>145</v>
      </c>
      <c r="F10" s="8" t="s">
        <v>130</v>
      </c>
      <c r="G10" s="8" t="s">
        <v>146</v>
      </c>
      <c r="H10" s="9" t="s">
        <v>147</v>
      </c>
    </row>
    <row r="11" customFormat="false" ht="24.75" hidden="false" customHeight="true" outlineLevel="0" collapsed="false">
      <c r="A11" s="4" t="s">
        <v>148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5" t="n">
        <v>7</v>
      </c>
      <c r="B12" s="6" t="s">
        <v>149</v>
      </c>
      <c r="C12" s="5" t="n">
        <v>1</v>
      </c>
      <c r="D12" s="6" t="s">
        <v>128</v>
      </c>
      <c r="E12" s="6" t="s">
        <v>150</v>
      </c>
      <c r="F12" s="5" t="s">
        <v>151</v>
      </c>
      <c r="G12" s="5" t="s">
        <v>152</v>
      </c>
      <c r="H12" s="6" t="s">
        <v>153</v>
      </c>
    </row>
    <row r="13" customFormat="false" ht="15" hidden="false" customHeight="false" outlineLevel="0" collapsed="false">
      <c r="A13" s="8" t="n">
        <v>8</v>
      </c>
      <c r="B13" s="9" t="s">
        <v>154</v>
      </c>
      <c r="C13" s="8" t="n">
        <v>8</v>
      </c>
      <c r="D13" s="9" t="s">
        <v>128</v>
      </c>
      <c r="E13" s="9" t="s">
        <v>155</v>
      </c>
      <c r="F13" s="8" t="s">
        <v>156</v>
      </c>
      <c r="G13" s="8" t="s">
        <v>157</v>
      </c>
      <c r="H13" s="9" t="s">
        <v>158</v>
      </c>
    </row>
    <row r="14" customFormat="false" ht="15" hidden="false" customHeight="false" outlineLevel="0" collapsed="false">
      <c r="A14" s="5" t="n">
        <v>9</v>
      </c>
      <c r="B14" s="6" t="s">
        <v>159</v>
      </c>
      <c r="C14" s="5" t="n">
        <v>1</v>
      </c>
      <c r="D14" s="6" t="s">
        <v>128</v>
      </c>
      <c r="E14" s="6" t="s">
        <v>155</v>
      </c>
      <c r="F14" s="5" t="s">
        <v>160</v>
      </c>
      <c r="G14" s="5" t="s">
        <v>161</v>
      </c>
      <c r="H14" s="6" t="s">
        <v>162</v>
      </c>
    </row>
    <row r="15" customFormat="false" ht="15" hidden="false" customHeight="false" outlineLevel="0" collapsed="false">
      <c r="A15" s="8" t="n">
        <v>10</v>
      </c>
      <c r="B15" s="9" t="s">
        <v>163</v>
      </c>
      <c r="C15" s="8" t="n">
        <v>2</v>
      </c>
      <c r="D15" s="9" t="s">
        <v>128</v>
      </c>
      <c r="E15" s="9" t="s">
        <v>155</v>
      </c>
      <c r="F15" s="8" t="s">
        <v>160</v>
      </c>
      <c r="G15" s="8" t="s">
        <v>131</v>
      </c>
      <c r="H15" s="9" t="s">
        <v>164</v>
      </c>
    </row>
    <row r="16" customFormat="false" ht="15" hidden="false" customHeight="false" outlineLevel="0" collapsed="false">
      <c r="A16" s="5" t="n">
        <v>11</v>
      </c>
      <c r="B16" s="6" t="s">
        <v>165</v>
      </c>
      <c r="C16" s="5" t="n">
        <v>4</v>
      </c>
      <c r="D16" s="6" t="s">
        <v>128</v>
      </c>
      <c r="E16" s="6" t="s">
        <v>155</v>
      </c>
      <c r="F16" s="5" t="s">
        <v>160</v>
      </c>
      <c r="G16" s="5" t="s">
        <v>146</v>
      </c>
      <c r="H16" s="6" t="s">
        <v>166</v>
      </c>
    </row>
    <row r="17" customFormat="false" ht="15" hidden="false" customHeight="false" outlineLevel="0" collapsed="false">
      <c r="A17" s="8" t="n">
        <v>12</v>
      </c>
      <c r="B17" s="9" t="s">
        <v>167</v>
      </c>
      <c r="C17" s="8" t="n">
        <v>2</v>
      </c>
      <c r="D17" s="9" t="s">
        <v>128</v>
      </c>
      <c r="E17" s="9" t="s">
        <v>155</v>
      </c>
      <c r="F17" s="8" t="s">
        <v>168</v>
      </c>
      <c r="G17" s="8" t="s">
        <v>169</v>
      </c>
      <c r="H17" s="9" t="s">
        <v>170</v>
      </c>
    </row>
    <row r="18" customFormat="false" ht="15" hidden="false" customHeight="false" outlineLevel="0" collapsed="false">
      <c r="A18" s="5" t="n">
        <v>13</v>
      </c>
      <c r="B18" s="6" t="s">
        <v>171</v>
      </c>
      <c r="C18" s="5" t="n">
        <v>1</v>
      </c>
      <c r="D18" s="6" t="s">
        <v>128</v>
      </c>
      <c r="E18" s="6" t="s">
        <v>155</v>
      </c>
      <c r="F18" s="5" t="s">
        <v>130</v>
      </c>
      <c r="G18" s="5" t="s">
        <v>172</v>
      </c>
      <c r="H18" s="6" t="s">
        <v>173</v>
      </c>
    </row>
    <row r="19" customFormat="false" ht="15" hidden="false" customHeight="false" outlineLevel="0" collapsed="false">
      <c r="A19" s="8" t="n">
        <v>14</v>
      </c>
      <c r="B19" s="9" t="s">
        <v>174</v>
      </c>
      <c r="C19" s="8" t="n">
        <v>1</v>
      </c>
      <c r="D19" s="9" t="s">
        <v>128</v>
      </c>
      <c r="E19" s="9" t="s">
        <v>155</v>
      </c>
      <c r="F19" s="8" t="s">
        <v>151</v>
      </c>
      <c r="G19" s="8" t="s">
        <v>175</v>
      </c>
      <c r="H19" s="9" t="s">
        <v>176</v>
      </c>
    </row>
    <row r="21" customFormat="false" ht="15" hidden="false" customHeight="false" outlineLevel="0" collapsed="false">
      <c r="A21" s="14" t="s">
        <v>177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 t="s">
        <v>178</v>
      </c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4" t="s">
        <v>179</v>
      </c>
      <c r="B23" s="14"/>
      <c r="C23" s="14"/>
      <c r="D23" s="14"/>
      <c r="E23" s="14"/>
      <c r="F23" s="14"/>
      <c r="G23" s="14"/>
      <c r="H23" s="14"/>
    </row>
  </sheetData>
  <mergeCells count="6">
    <mergeCell ref="A1:H1"/>
    <mergeCell ref="A4:H4"/>
    <mergeCell ref="A11:H11"/>
    <mergeCell ref="A21:H21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2026-04-04T22:21:15Z</dcterms:created>
  <dc:creator>openpyxl</dc:creator>
  <dc:description/>
  <dc:language>en-US</dc:language>
  <cp:lastModifiedBy/>
  <dcterms:modified xsi:type="dcterms:W3CDTF">2026-04-04T22:21:15Z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